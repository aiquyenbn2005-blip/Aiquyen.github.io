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ive Analysis" sheetId="1" state="visible" r:id="rId1"/>
    <sheet name="Scene Breakdown" sheetId="2" state="visible" r:id="rId2"/>
    <sheet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color rgb="000000FF"/>
      <sz val="10"/>
    </font>
    <font>
      <name val="Arial"/>
      <i val="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12" customWidth="1" min="4" max="4"/>
    <col width="16" customWidth="1" min="5" max="5"/>
    <col width="22" customWidth="1" min="6" max="6"/>
    <col width="30" customWidth="1" min="7" max="7"/>
    <col width="34" customWidth="1" min="8" max="8"/>
    <col width="24" customWidth="1" min="9" max="9"/>
    <col width="28" customWidth="1" min="10" max="10"/>
    <col width="60" customWidth="1" min="11" max="11"/>
    <col width="20" customWidth="1" min="12" max="12"/>
    <col width="24" customWidth="1" min="13" max="13"/>
    <col width="26" customWidth="1" min="14" max="14"/>
    <col width="32" customWidth="1" min="15" max="15"/>
    <col width="32" customWidth="1" min="16" max="16"/>
    <col width="36" customWidth="1" min="17" max="17"/>
    <col width="34" customWidth="1" min="18" max="18"/>
    <col width="26" customWidth="1" min="19" max="19"/>
  </cols>
  <sheetData>
    <row r="1" ht="32" customHeight="1">
      <c r="A1" s="1" t="inlineStr">
        <is>
          <t>ID</t>
        </is>
      </c>
      <c r="B1" s="1" t="inlineStr">
        <is>
          <t>File video</t>
        </is>
      </c>
      <c r="C1" s="1" t="inlineStr">
        <is>
          <t>Thời lượng (s)</t>
        </is>
      </c>
      <c r="D1" s="1" t="inlineStr">
        <is>
          <t>Tỉ lệ / Độ phân giải</t>
        </is>
      </c>
      <c r="E1" s="1" t="inlineStr">
        <is>
          <t>Ngôn ngữ / Thị trường</t>
        </is>
      </c>
      <c r="F1" s="1" t="inlineStr">
        <is>
          <t>Tính năng quảng bá</t>
        </is>
      </c>
      <c r="G1" s="1" t="inlineStr">
        <is>
          <t>Concept / Angle</t>
        </is>
      </c>
      <c r="H1" s="1" t="inlineStr">
        <is>
          <t>Hook (0-3s)</t>
        </is>
      </c>
      <c r="I1" s="1" t="inlineStr">
        <is>
          <t>Pain point</t>
        </is>
      </c>
      <c r="J1" s="1" t="inlineStr">
        <is>
          <t>USP / Claim chính</t>
        </is>
      </c>
      <c r="K1" s="1" t="inlineStr">
        <is>
          <t>Kịch bản tóm tắt (text overlay → dịch VI)</t>
        </is>
      </c>
      <c r="L1" s="1" t="inlineStr">
        <is>
          <t>CTA</t>
        </is>
      </c>
      <c r="M1" s="1" t="inlineStr">
        <is>
          <t>End card</t>
        </is>
      </c>
      <c r="N1" s="1" t="inlineStr">
        <is>
          <t>Phong cách / Format</t>
        </is>
      </c>
      <c r="O1" s="1" t="inlineStr">
        <is>
          <t>Điểm mạnh</t>
        </is>
      </c>
      <c r="P1" s="1" t="inlineStr">
        <is>
          <t>Điểm yếu</t>
        </is>
      </c>
      <c r="Q1" s="1" t="inlineStr">
        <is>
          <t>Rủi ro policy</t>
        </is>
      </c>
      <c r="R1" s="1" t="inlineStr">
        <is>
          <t>Đề xuất iteration</t>
        </is>
      </c>
      <c r="S1" s="1" t="inlineStr">
        <is>
          <t>Ghi chú</t>
        </is>
      </c>
    </row>
    <row r="2" ht="260" customHeight="1">
      <c r="A2" s="2" t="inlineStr">
        <is>
          <t>SF-01</t>
        </is>
      </c>
      <c r="B2" s="2" t="inlineStr">
        <is>
          <t>59020c6c-...-1d718a70e2169fb801603ede7026b1b2-0.mp4</t>
        </is>
      </c>
      <c r="C2" s="2" t="n">
        <v>25.1</v>
      </c>
      <c r="D2" s="2" t="inlineStr">
        <is>
          <t>4:5 · 480x600</t>
        </is>
      </c>
      <c r="E2" s="2" t="inlineStr">
        <is>
          <t>Hindi (text + âm thanh) · Ấn Độ</t>
        </is>
      </c>
      <c r="F2" s="2" t="inlineStr">
        <is>
          <t>Chiếu màn hình điện thoại lên tường ("phone projector")</t>
        </is>
      </c>
      <c r="G2" s="2" t="inlineStr">
        <is>
          <t>Problem → Solution: màn hình điện thoại quá nhỏ cho đêm xem phim → mở app để chiếu lên tường/trần</t>
        </is>
      </c>
      <c r="H2" s="2" t="inlineStr">
        <is>
          <t>Nhân vật hoạt hình 3D (cô gái cầm bắp rang) + tia sáng cầu vồng từ điện thoại chiếu anime lên tường; bong bóng câu hỏi: "Làm sao điện thoại thật sự biến thành máy chiếu phim?"</t>
        </is>
      </c>
      <c r="I2" s="2" t="inlineStr">
        <is>
          <t>Màn hình điện thoại nhỏ khi xem phim; máy chiếu đắt</t>
        </is>
      </c>
      <c r="J2" s="2" t="inlineStr">
        <is>
          <t>Biến điện thoại thành máy chiếu, chiếu lên bất kỳ tường/trần nào, không cần mua máy chiếu đắt tiền</t>
        </is>
      </c>
      <c r="K2" s="2" t="inlineStr">
        <is>
          <t>Cho những đêm xem phim → Màn hình điện thoại của bạn quá nhỏ? → Tôi đã tìm ra một cách → Chỉ cần mở app này → Và chỉ trong vài giây → Bạn có thể chiếu màn hình lên bất kỳ bức tường hoặc trần nhà nào → Giờ hãy thưởng thức phim, game, video yêu thích trên màn hình lớn → Mà không cần mua máy chiếu đắt tiền → Tải ngay → Nâng tầm giải trí của bạn</t>
        </is>
      </c>
      <c r="L2" s="2" t="inlineStr">
        <is>
          <t>"अभी इसे डाउनलोड करें" (Tải ngay) ~18s</t>
        </is>
      </c>
      <c r="M2" s="2" t="inlineStr">
        <is>
          <t>~21-25s: icon + "Smart Flashlight" + badge Get it on Google Play, nền trời sao</t>
        </is>
      </c>
      <c r="N2" s="2" t="inlineStr">
        <is>
          <t>Hook AI/3D animation + footage UGC-style nhiều bối cảnh (phòng khách, phòng chiếu, hành lang, trần nhà)</t>
        </is>
      </c>
      <c r="O2" s="2" t="inlineStr">
        <is>
          <t>Hook tò mò bằng câu hỏi + visual lạ mắt; nhiều bối cảnh chứng minh 'mọi bề mặt'; so sánh với máy chiếu đắt → value rõ</t>
        </is>
      </c>
      <c r="P2" s="2" t="inlineStr">
        <is>
          <t>Hook 6s hơi dài trước khi vào sản phẩm; không có logo/app name cho tới end card; không show UI app thật</t>
        </is>
      </c>
      <c r="Q2" s="3" t="inlineStr">
        <is>
          <t>CAO: claim chiếu màn hình bằng app đèn pin là không thể về mặt kỹ thuật → rủi ro vi phạm chính sách quảng cáo gây hiểu lầm (Google Ads/Meta/TikTok) + review 1★, uninstall cao</t>
        </is>
      </c>
      <c r="R2" s="2" t="inlineStr">
        <is>
          <t>Test rút hook còn 3s; thêm icon app watermark từ đầu; A/B với bản trung thực (show tính năng thật: Disco, SOS, Flash on Call)</t>
        </is>
      </c>
      <c r="S2" s="2" t="inlineStr">
        <is>
          <t>Visual hook độc đáo, có khả năng CTR cao nhưng cần theo dõi retention D1</t>
        </is>
      </c>
    </row>
    <row r="3" ht="260" customHeight="1">
      <c r="A3" s="2" t="inlineStr">
        <is>
          <t>SF-02</t>
        </is>
      </c>
      <c r="B3" s="2" t="inlineStr">
        <is>
          <t>e53a8c5b-...-9a6b894002ce5280b593dfd5be6564c4-0.mp4</t>
        </is>
      </c>
      <c r="C3" s="2" t="n">
        <v>26.1</v>
      </c>
      <c r="D3" s="2" t="inlineStr">
        <is>
          <t>4:5 · 480x600</t>
        </is>
      </c>
      <c r="E3" s="2" t="inlineStr">
        <is>
          <t>Hindi (text + âm thanh) · Ấn Độ</t>
        </is>
      </c>
      <c r="F3" s="2" t="inlineStr">
        <is>
          <t>Chiếu màn hình điện thoại lên tường ("101-inch projector")</t>
        </is>
      </c>
      <c r="G3" s="2" t="inlineStr">
        <is>
          <t>Pain point sức khoẻ: xem màn hình nhỏ hại mắt → Store flow (tìm – cài app) → demo chiếu 101 inch</t>
        </is>
      </c>
      <c r="H3" s="2" t="inlineStr">
        <is>
          <t>Cô gái nằm trên sofa dí sát điện thoại vào mặt, mắt 'phát sáng' (hiệu ứng mỏi mắt) + biển cấm 🚫</t>
        </is>
      </c>
      <c r="I3" s="2" t="inlineStr">
        <is>
          <t>Hại mắt khi xem phim/chơi game trên màn hình nhỏ; mỏi tay khi cầm điện thoại</t>
        </is>
      </c>
      <c r="J3" s="2" t="inlineStr">
        <is>
          <t>Biến điện thoại thành máy chiếu 101 inch chỉ trong 3 giây, 1 chạm, sáng rõ</t>
        </is>
      </c>
      <c r="K3" s="2" t="inlineStr">
        <is>
          <t>Ngừng làm hại mắt khi xem phim hoặc chơi game trên màn hình điện thoại nhỏ → [Google Play: tìm Smart Flashlight → trang app → Install] → Mở app này → Và chỉ trong 3 giây → Biến điện thoại thành máy chiếu 101 inch → Chỉ một chạm → Lên bất kỳ tường hoặc trần nào → Biến màn hình thành hiển thị sáng và rõ → Giờ không còn lo mỏi tay khi cầm điện thoại → Tải ngay → Nâng trải nghiệm lên mức tối đa</t>
        </is>
      </c>
      <c r="L3" s="2" t="inlineStr">
        <is>
          <t>"अभी डाउनलोड करें" (Tải ngay) ~22s</t>
        </is>
      </c>
      <c r="M3" s="2" t="inlineStr">
        <is>
          <t>~24-26s: icon + "Smart Flashlight" (animation chữ) + Google Play</t>
        </is>
      </c>
      <c r="N3" s="2" t="inlineStr">
        <is>
          <t>UGC/live-action + screen recording Google Play; icon app watermark góc phải từ ~7s; mặt người được che bằng sticker phát sáng</t>
        </is>
      </c>
      <c r="O3" s="2" t="inlineStr">
        <is>
          <t>Pain point cụ thể (mắt, tay); con số cụ thể '101 inch', '3 giây'; Store flow giúp người xem biết tìm app ở đâu; branding sớm</t>
        </is>
      </c>
      <c r="P3" s="2" t="inlineStr">
        <is>
          <t>Store flow ~4s làm chậm nhịp; sticker che mặt trông thiếu tự nhiên; 2 pain point (mắt + tay) làm loãng thông điệp</t>
        </is>
      </c>
      <c r="Q3" s="3" t="inlineStr">
        <is>
          <t>CAO: claim máy chiếu 101 inch sai sự thật; claim sức khoẻ ('ngừng hại mắt') có thể bị xếp vào health claim; hiển thị trang Play Store có quảng cáo app khác (Snapchat...) → rủi ro nhãn hiệu</t>
        </is>
      </c>
      <c r="R3" s="2" t="inlineStr">
        <is>
          <t>Cắt Store flow còn 1.5-2s; giữ 1 pain point; test hook 'mắt mỏi' vs hook 'màn hình nhỏ' của SF-01</t>
        </is>
      </c>
      <c r="S3" s="2" t="inlineStr">
        <is>
          <t>Trùng angle với SF-01 và SF-04 → nên test như 1 concept group</t>
        </is>
      </c>
    </row>
    <row r="4" ht="260" customHeight="1">
      <c r="A4" s="2" t="inlineStr">
        <is>
          <t>SF-03</t>
        </is>
      </c>
      <c r="B4" s="2" t="inlineStr">
        <is>
          <t>0b33b72a-...-0d55c52b0e31796f153e8574351ec784-0.mp4 (trùng 100% với 212386f1-...-eea20f32cf8f9c874f131cd790ad2c35-0.mp4)</t>
        </is>
      </c>
      <c r="C4" s="2" t="n">
        <v>21.8</v>
      </c>
      <c r="D4" s="2" t="inlineStr">
        <is>
          <t>4:5 · 480x600</t>
        </is>
      </c>
      <c r="E4" s="2" t="inlineStr">
        <is>
          <t>Hindi (text + âm thanh) · Ấn Độ</t>
        </is>
      </c>
      <c r="F4" s="2" t="inlineStr">
        <is>
          <t>Kính lúp / Zoom (Magnifier) tích hợp</t>
        </is>
      </c>
      <c r="G4" s="2" t="inlineStr">
        <is>
          <t>Feature demo: zoom mặt trăng 100x, phóng to chữ sách, zoom vật ở xa</t>
        </is>
      </c>
      <c r="H4" s="2" t="inlineStr">
        <is>
          <t>UI zoom với thanh xoay 1x→100x, mặt trăng phóng to dần (visual 'wow')</t>
        </is>
      </c>
      <c r="I4" s="2" t="inlineStr">
        <is>
          <t>Không nhìn rõ chữ nhỏ / vật ở xa</t>
        </is>
      </c>
      <c r="J4" s="2" t="inlineStr">
        <is>
          <t>Kính lúp tích hợp, zoom tới 100x, nhìn rõ chữ nhỏ và vật ở xa</t>
        </is>
      </c>
      <c r="K4" s="2" t="inlineStr">
        <is>
          <t>Đây là ứng dụng → Có chức năng kính lúp tích hợp → [UI Magnifier phóng to trang sách] → Bằng cách điều chỉnh mức phóng đại → Bạn có thể zoom và xem rõ ràng → [Zoom mặt trăng 0x→83x] → Giờ cả vật ở xa và chữ nhỏ → Cũng có thể nhìn rõ ràng → [Zoom thuyền trên biển]</t>
        </is>
      </c>
      <c r="L4" s="2" t="inlineStr">
        <is>
          <t>Không có CTA bằng lời/text; chỉ có end card</t>
        </is>
      </c>
      <c r="M4" s="2" t="inlineStr">
        <is>
          <t>~20-22s: icon + "Smart Flashlight" + Google Play</t>
        </is>
      </c>
      <c r="N4" s="2" t="inlineStr">
        <is>
          <t>Screen recording UI + quay tay cầm điện thoại (hand-held demo)</t>
        </is>
      </c>
      <c r="O4" s="2" t="inlineStr">
        <is>
          <t>Hook visual mạnh (mặt trăng); demo tính năng có thật trong app (Magnifier); phù hợp người lớn tuổi / cần đọc chữ nhỏ</t>
        </is>
      </c>
      <c r="P4" s="2" t="inlineStr">
        <is>
          <t>Thiếu CTA 'Tải ngay'; vài cảnh dùng giao diện camera không phải của app (không nhất quán); không nói đây là app đèn pin → lệch kỳ vọng</t>
        </is>
      </c>
      <c r="Q4" s="3" t="inlineStr">
        <is>
          <t>TRUNG BÌNH: zoom 100x mặt trăng rõ nét là không thực tế với camera điện thoại thường (digital zoom) → dễ bị coi là phóng đại</t>
        </is>
      </c>
      <c r="R4" s="2" t="inlineStr">
        <is>
          <t>Thêm CTA text + VO ở ~17s; thêm cảnh đèn pin + kính lúp dùng đồng thời trong tối (đọc menu nhà hàng, tìm đồ rơi) để gắn với core app</t>
        </is>
      </c>
      <c r="S4" s="2" t="inlineStr">
        <is>
          <t>2 file upload là cùng 1 video (MD5 giống nhau) → chỉ phân tích 1 lần</t>
        </is>
      </c>
    </row>
    <row r="5" ht="260" customHeight="1">
      <c r="A5" s="2" t="inlineStr">
        <is>
          <t>SF-04</t>
        </is>
      </c>
      <c r="B5" s="2" t="inlineStr">
        <is>
          <t>b9285ee8-...-c57374ed77a58293c23f01838299a790-0.mp4</t>
        </is>
      </c>
      <c r="C5" s="2" t="n">
        <v>22.5</v>
      </c>
      <c r="D5" s="2" t="inlineStr">
        <is>
          <t>1:1 · 480x480</t>
        </is>
      </c>
      <c r="E5" s="2" t="inlineStr">
        <is>
          <t>Tiếng Anh (text + âm thanh) · Tier 1/Global EN</t>
        </is>
      </c>
      <c r="F5" s="2" t="inlineStr">
        <is>
          <t>Chiếu màn hình điện thoại lên tường ("100-inch")</t>
        </is>
      </c>
      <c r="G5" s="2" t="inlineStr">
        <is>
          <t>Home entertainment: trải nghiệm rạp 100 inch tại nhà chỉ bằng điện thoại, xem chung cùng mọi người</t>
        </is>
      </c>
      <c r="H5" s="2" t="inlineStr">
        <is>
          <t>Cô gái đứng quay lưng, điện thoại đặt trên bàn phát ánh sáng hồng lên người (text: "Get a 100 inch entertainment...")</t>
        </is>
      </c>
      <c r="I5" s="2" t="inlineStr">
        <is>
          <t>Muốn màn hình lớn tại nhà mà không tốn tiền</t>
        </is>
      </c>
      <c r="J5" s="2" t="inlineStr">
        <is>
          <t>Mirror màn hình điện thoại lên tường/trần/mọi mặt phẳng, 100 inch, xem cùng nhau</t>
        </is>
      </c>
      <c r="K5" s="2" t="inlineStr">
        <is>
          <t>Get a 100 inch entertainment experience at home using just your phone → Open this app and mirror your phone screen onto a wall, ceiling or any flat surface around you → Now you can enjoy movies, videos and even games on a massive 100 inch style display that everyone can enjoy together → Download now</t>
        </is>
      </c>
      <c r="L5" s="2" t="inlineStr">
        <is>
          <t>"Download now" ~18s</t>
        </is>
      </c>
      <c r="M5" s="2" t="inlineStr">
        <is>
          <t>~20-22s: icon + "Smart Flashlight" + Google Play</t>
        </is>
      </c>
      <c r="N5" s="2" t="inlineStr">
        <is>
          <t>UGC live-action; nửa sau có khung REC giả lập camera (quay thật); phụ đề vàng in nghiêng</t>
        </is>
      </c>
      <c r="O5" s="2" t="inlineStr">
        <is>
          <t>Thông điệp gọn, dễ hiểu, 1 ý; yếu tố 'xem cùng nhau' (social); khung REC tăng cảm giác chân thực</t>
        </is>
      </c>
      <c r="P5" s="2" t="inlineStr">
        <is>
          <t>Hook 2s đầu khó hiểu (ánh sáng chiếu lên lưng người); chất lượng video thấp (480p); tỉ lệ 1:1 chỉ tối ưu Feed, không tối ưu Reels/Stories</t>
        </is>
      </c>
      <c r="Q5" s="3" t="inlineStr">
        <is>
          <t>CAO: claim mirror màn hình 100 inch không đúng với app đèn pin → misleading ad; 'REC' overlay giả lập 'quay thật' làm tăng mức độ gây hiểu lầm</t>
        </is>
      </c>
      <c r="R5" s="2" t="inlineStr">
        <is>
          <t>Làm bản 9:16 cho Reels/TikTok/Shorts; đổi hook sang cảnh màn hình lớn đã sáng ngay frame đầu</t>
        </is>
      </c>
      <c r="S5" s="2" t="inlineStr">
        <is>
          <t>Bản tiếng Anh duy nhất → dùng để test thị trường EN</t>
        </is>
      </c>
    </row>
    <row r="7">
      <c r="A7" s="4" t="inlineStr">
        <is>
          <t>Tổng quan</t>
        </is>
      </c>
    </row>
    <row r="8">
      <c r="A8" s="5" t="inlineStr">
        <is>
          <t>Số file upload</t>
        </is>
      </c>
      <c r="C8" s="6" t="n">
        <v>5</v>
      </c>
    </row>
    <row r="9">
      <c r="A9" s="5" t="inlineStr">
        <is>
          <t>Số video duy nhất</t>
        </is>
      </c>
      <c r="C9" s="5">
        <f>COUNTA(A2:A5)</f>
        <v/>
      </c>
      <c r="D9" s="7" t="inlineStr">
        <is>
          <t>Loại trùng: 0b33b72a và 212386f1 giống hệt nhau (cùng MD5)</t>
        </is>
      </c>
    </row>
    <row r="10">
      <c r="A10" s="5" t="inlineStr">
        <is>
          <t>Thời lượng trung bình (s)</t>
        </is>
      </c>
      <c r="C10" s="5">
        <f>AVERAGE(C2:C5)</f>
        <v/>
      </c>
    </row>
    <row r="11">
      <c r="A11" s="5" t="inlineStr">
        <is>
          <t>Số video angle 'Máy chiếu'</t>
        </is>
      </c>
      <c r="C11" s="5">
        <f>COUNTIF(F2:F5,"*chiếu*")</f>
        <v/>
      </c>
    </row>
    <row r="12">
      <c r="A12" s="5" t="inlineStr">
        <is>
          <t>Số video angle 'Kính lúp/Zoom'</t>
        </is>
      </c>
      <c r="C12" s="5">
        <f>COUNTIF(F2:F5,"*Kính lúp*")</f>
        <v/>
      </c>
    </row>
    <row r="13">
      <c r="A13" s="5" t="inlineStr">
        <is>
          <t>Số video rủi ro policy CAO</t>
        </is>
      </c>
      <c r="C13" s="5">
        <f>COUNTIF(Q2:Q5,"CAO*")</f>
        <v/>
      </c>
    </row>
    <row r="15">
      <c r="A15" s="7" t="inlineStr">
        <is>
          <t>Lưu ý: Thời lượng lấy từ metadata file (ffmpeg). Phần dịch là từ phụ đề hiển thị trên video; âm thanh có mặt ở cả 4 video (mean ≈ -16 đến -18 dB) nhưng chưa được transcribe riêng.</t>
        </is>
      </c>
    </row>
  </sheetData>
  <mergeCells count="6">
    <mergeCell ref="A11:B11"/>
    <mergeCell ref="A10:B10"/>
    <mergeCell ref="A13:B13"/>
    <mergeCell ref="A9:B9"/>
    <mergeCell ref="A8:B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6" customWidth="1" min="5" max="5"/>
    <col width="48" customWidth="1" min="6" max="6"/>
    <col width="55" customWidth="1" min="7" max="7"/>
    <col width="55" customWidth="1" min="8" max="8"/>
  </cols>
  <sheetData>
    <row r="1">
      <c r="A1" s="1" t="inlineStr">
        <is>
          <t>ID</t>
        </is>
      </c>
      <c r="B1" s="1" t="inlineStr">
        <is>
          <t>Từ (s)</t>
        </is>
      </c>
      <c r="C1" s="1" t="inlineStr">
        <is>
          <t>Đến (s)</t>
        </is>
      </c>
      <c r="D1" s="1" t="inlineStr">
        <is>
          <t>Độ dài (s)</t>
        </is>
      </c>
      <c r="E1" s="1" t="inlineStr">
        <is>
          <t>Phân đoạn</t>
        </is>
      </c>
      <c r="F1" s="1" t="inlineStr">
        <is>
          <t>Hình ảnh</t>
        </is>
      </c>
      <c r="G1" s="1" t="inlineStr">
        <is>
          <t>Text overlay (gốc)</t>
        </is>
      </c>
      <c r="H1" s="1" t="inlineStr">
        <is>
          <t>Dịch tiếng Việt</t>
        </is>
      </c>
    </row>
    <row r="2">
      <c r="A2" s="2" t="inlineStr">
        <is>
          <t>SF-01</t>
        </is>
      </c>
      <c r="B2" s="8" t="n">
        <v>0</v>
      </c>
      <c r="C2" s="8" t="n">
        <v>3</v>
      </c>
      <c r="D2" s="2">
        <f>C2-B2</f>
        <v/>
      </c>
      <c r="E2" s="2" t="inlineStr">
        <is>
          <t>Hook</t>
        </is>
      </c>
      <c r="F2" s="2" t="inlineStr">
        <is>
          <t>Cô gái 3D cầm bắp rang, tay cầm điện thoại chiếu tia cầu vồng lên tường thành anime</t>
        </is>
      </c>
      <c r="G2" s="2" t="inlineStr">
        <is>
          <t>क्या फिल्म रातों के लिए / आपकी फोन की स्क्रीन बहुत छोटी है?</t>
        </is>
      </c>
      <c r="H2" s="2" t="inlineStr">
        <is>
          <t>Cho những đêm xem phim / Màn hình điện thoại của bạn quá nhỏ?</t>
        </is>
      </c>
    </row>
    <row r="3">
      <c r="A3" s="2" t="inlineStr">
        <is>
          <t>SF-01</t>
        </is>
      </c>
      <c r="B3" s="8" t="n">
        <v>3</v>
      </c>
      <c r="C3" s="8" t="n">
        <v>6</v>
      </c>
      <c r="D3" s="2">
        <f>C3-B3</f>
        <v/>
      </c>
      <c r="E3" s="2" t="inlineStr">
        <is>
          <t>Setup</t>
        </is>
      </c>
      <c r="F3" s="2" t="inlineStr">
        <is>
          <t>Điện thoại hiện app xem phim, hình chiếu lưới poster phim trên tường</t>
        </is>
      </c>
      <c r="G3" s="2" t="inlineStr">
        <is>
          <t>मैंने एक तरीका खोज लिया है</t>
        </is>
      </c>
      <c r="H3" s="2" t="inlineStr">
        <is>
          <t>Tôi đã tìm ra một cách</t>
        </is>
      </c>
    </row>
    <row r="4">
      <c r="A4" s="2" t="inlineStr">
        <is>
          <t>SF-01</t>
        </is>
      </c>
      <c r="B4" s="8" t="n">
        <v>6</v>
      </c>
      <c r="C4" s="8" t="n">
        <v>9</v>
      </c>
      <c r="D4" s="2">
        <f>C4-B4</f>
        <v/>
      </c>
      <c r="E4" s="2" t="inlineStr">
        <is>
          <t>Solution</t>
        </is>
      </c>
      <c r="F4" s="2" t="inlineStr">
        <is>
          <t>Phòng tối, tay mở app, màn hình điện thoại đỏ chiếu lên tường</t>
        </is>
      </c>
      <c r="G4" s="2" t="inlineStr">
        <is>
          <t>बस इस ऐप को खोलें / और कुछ ही सेकंड में</t>
        </is>
      </c>
      <c r="H4" s="2" t="inlineStr">
        <is>
          <t>Chỉ cần mở app này / Và chỉ trong vài giây</t>
        </is>
      </c>
    </row>
    <row r="5">
      <c r="A5" s="2" t="inlineStr">
        <is>
          <t>SF-01</t>
        </is>
      </c>
      <c r="B5" s="8" t="n">
        <v>9</v>
      </c>
      <c r="C5" s="8" t="n">
        <v>13</v>
      </c>
      <c r="D5" s="2">
        <f>C5-B5</f>
        <v/>
      </c>
      <c r="E5" s="2" t="inlineStr">
        <is>
          <t>Demo</t>
        </is>
      </c>
      <c r="F5" s="2" t="inlineStr">
        <is>
          <t>Chiếu lên tường phòng khách, lên trần nhà (video ca nhạc)</t>
        </is>
      </c>
      <c r="G5" s="2" t="inlineStr">
        <is>
          <t>आप अपनी स्क्रीन को किसी भी दीवार या छत पर प्रोजेक्ट कर सकते हैं</t>
        </is>
      </c>
      <c r="H5" s="2" t="inlineStr">
        <is>
          <t>Bạn có thể chiếu màn hình lên bất kỳ tường hoặc trần nhà nào</t>
        </is>
      </c>
    </row>
    <row r="6">
      <c r="A6" s="2" t="inlineStr">
        <is>
          <t>SF-01</t>
        </is>
      </c>
      <c r="B6" s="8" t="n">
        <v>13</v>
      </c>
      <c r="C6" s="8" t="n">
        <v>16</v>
      </c>
      <c r="D6" s="2">
        <f>C6-B6</f>
        <v/>
      </c>
      <c r="E6" s="2" t="inlineStr">
        <is>
          <t>Benefit</t>
        </is>
      </c>
      <c r="F6" s="2" t="inlineStr">
        <is>
          <t>Phòng chiếu lớn: phim, game, video</t>
        </is>
      </c>
      <c r="G6" s="2" t="inlineStr">
        <is>
          <t>अब बड़ी डिस्प्ले पर अपनी पसंदीदा फिल्में, गेम या वीडियो आनंद लें</t>
        </is>
      </c>
      <c r="H6" s="2" t="inlineStr">
        <is>
          <t>Giờ hãy thưởng thức phim, game, video yêu thích trên màn hình lớn</t>
        </is>
      </c>
    </row>
    <row r="7">
      <c r="A7" s="2" t="inlineStr">
        <is>
          <t>SF-01</t>
        </is>
      </c>
      <c r="B7" s="8" t="n">
        <v>16</v>
      </c>
      <c r="C7" s="8" t="n">
        <v>19</v>
      </c>
      <c r="D7" s="2">
        <f>C7-B7</f>
        <v/>
      </c>
      <c r="E7" s="2" t="inlineStr">
        <is>
          <t>Value / CTA</t>
        </is>
      </c>
      <c r="F7" s="2" t="inlineStr">
        <is>
          <t>So sánh máy chiếu thật; chiếu Reels lên tường</t>
        </is>
      </c>
      <c r="G7" s="2" t="inlineStr">
        <is>
          <t>बिना किसी महंगे प्रोजेक्टर की खरीदारी के / अभी इसे डाउनलोड करें</t>
        </is>
      </c>
      <c r="H7" s="2" t="inlineStr">
        <is>
          <t>Không cần mua máy chiếu đắt tiền / Tải ngay</t>
        </is>
      </c>
    </row>
    <row r="8">
      <c r="A8" s="2" t="inlineStr">
        <is>
          <t>SF-01</t>
        </is>
      </c>
      <c r="B8" s="8" t="n">
        <v>19</v>
      </c>
      <c r="C8" s="8" t="n">
        <v>21</v>
      </c>
      <c r="D8" s="2">
        <f>C8-B8</f>
        <v/>
      </c>
      <c r="E8" s="2" t="inlineStr">
        <is>
          <t>Outro</t>
        </is>
      </c>
      <c r="F8" s="2" t="inlineStr">
        <is>
          <t>Chiếu anime lên sàn hành lang, lên cửa</t>
        </is>
      </c>
      <c r="G8" s="2" t="inlineStr">
        <is>
          <t>और अपना मनोरंजन अगले स्तर पर ले जाएं</t>
        </is>
      </c>
      <c r="H8" s="2" t="inlineStr">
        <is>
          <t>Nâng tầm giải trí của bạn</t>
        </is>
      </c>
    </row>
    <row r="9">
      <c r="A9" s="2" t="inlineStr">
        <is>
          <t>SF-01</t>
        </is>
      </c>
      <c r="B9" s="8" t="n">
        <v>21</v>
      </c>
      <c r="C9" s="8" t="n">
        <v>25.1</v>
      </c>
      <c r="D9" s="2">
        <f>C9-B9</f>
        <v/>
      </c>
      <c r="E9" s="2" t="inlineStr">
        <is>
          <t>End card</t>
        </is>
      </c>
      <c r="F9" s="2" t="inlineStr">
        <is>
          <t>Icon + Smart Flashlight + Google Play</t>
        </is>
      </c>
      <c r="G9" s="2" t="inlineStr">
        <is>
          <t>—</t>
        </is>
      </c>
      <c r="H9" s="2" t="inlineStr">
        <is>
          <t>—</t>
        </is>
      </c>
    </row>
    <row r="10">
      <c r="A10" s="2" t="inlineStr">
        <is>
          <t>SF-02</t>
        </is>
      </c>
      <c r="B10" s="8" t="n">
        <v>0</v>
      </c>
      <c r="C10" s="8" t="n">
        <v>3</v>
      </c>
      <c r="D10" s="2">
        <f>C10-B10</f>
        <v/>
      </c>
      <c r="E10" s="2" t="inlineStr">
        <is>
          <t>Hook</t>
        </is>
      </c>
      <c r="F10" s="2" t="inlineStr">
        <is>
          <t>Cô gái nằm sofa dí điện thoại sát mặt, mắt phát sáng, biển cấm</t>
        </is>
      </c>
      <c r="G10" s="2" t="inlineStr">
        <is>
          <t>फिल्में देखने या छोटी फोन की स्क्रीन पर गेम खेलने में</t>
        </is>
      </c>
      <c r="H10" s="2" t="inlineStr">
        <is>
          <t>Khi xem phim hoặc chơi game trên màn hình điện thoại nhỏ</t>
        </is>
      </c>
    </row>
    <row r="11">
      <c r="A11" s="2" t="inlineStr">
        <is>
          <t>SF-02</t>
        </is>
      </c>
      <c r="B11" s="8" t="n">
        <v>3</v>
      </c>
      <c r="C11" s="8" t="n">
        <v>7</v>
      </c>
      <c r="D11" s="2">
        <f>C11-B11</f>
        <v/>
      </c>
      <c r="E11" s="2" t="inlineStr">
        <is>
          <t>Store flow</t>
        </is>
      </c>
      <c r="F11" s="2" t="inlineStr">
        <is>
          <t>Google Play: kết quả tìm Smart Flashlight → trang app → Install (Pending)</t>
        </is>
      </c>
      <c r="G11" s="2" t="inlineStr">
        <is>
          <t>अपनी आँखों को नुकसान पहुँचाना बंद कर दें / इस ऐप को खोलें</t>
        </is>
      </c>
      <c r="H11" s="2" t="inlineStr">
        <is>
          <t>Ngừng làm hại mắt / Mở app này</t>
        </is>
      </c>
    </row>
    <row r="12">
      <c r="A12" s="2" t="inlineStr">
        <is>
          <t>SF-02</t>
        </is>
      </c>
      <c r="B12" s="8" t="n">
        <v>7</v>
      </c>
      <c r="C12" s="8" t="n">
        <v>12</v>
      </c>
      <c r="D12" s="2">
        <f>C12-B12</f>
        <v/>
      </c>
      <c r="E12" s="2" t="inlineStr">
        <is>
          <t>Demo</t>
        </is>
      </c>
      <c r="F12" s="2" t="inlineStr">
        <is>
          <t>Cô gái bấm điện thoại, TV/tường chiếu phim (watermark icon góc phải)</t>
        </is>
      </c>
      <c r="G12" s="2" t="inlineStr">
        <is>
          <t>और सिर्फ तीन सेकंड में / अपने फोन को 101 इंच के प्रोजेक्टर में बदल दें / सिर्फ एक टैप</t>
        </is>
      </c>
      <c r="H12" s="2" t="inlineStr">
        <is>
          <t>Chỉ trong 3 giây / Biến điện thoại thành máy chiếu 101 inch / Chỉ một chạm</t>
        </is>
      </c>
    </row>
    <row r="13">
      <c r="A13" s="2" t="inlineStr">
        <is>
          <t>SF-02</t>
        </is>
      </c>
      <c r="B13" s="8" t="n">
        <v>12</v>
      </c>
      <c r="C13" s="8" t="n">
        <v>16</v>
      </c>
      <c r="D13" s="2">
        <f>C13-B13</f>
        <v/>
      </c>
      <c r="E13" s="2" t="inlineStr">
        <is>
          <t>Demo 2</t>
        </is>
      </c>
      <c r="F13" s="2" t="inlineStr">
        <is>
          <t>Phòng áp mái, điện thoại chiếu lên tường</t>
        </is>
      </c>
      <c r="G13" s="2" t="inlineStr">
        <is>
          <t>किसी भी दीवार या छत पर / आपकी स्क्रीन को चमकदार और स्पष्ट प्रदर्शन में बदल देता है</t>
        </is>
      </c>
      <c r="H13" s="2" t="inlineStr">
        <is>
          <t>Lên bất kỳ tường hoặc trần nào / Biến màn hình thành hiển thị sáng và rõ</t>
        </is>
      </c>
    </row>
    <row r="14">
      <c r="A14" s="2" t="inlineStr">
        <is>
          <t>SF-02</t>
        </is>
      </c>
      <c r="B14" s="8" t="n">
        <v>16</v>
      </c>
      <c r="C14" s="8" t="n">
        <v>21</v>
      </c>
      <c r="D14" s="2">
        <f>C14-B14</f>
        <v/>
      </c>
      <c r="E14" s="2" t="inlineStr">
        <is>
          <t>Benefit</t>
        </is>
      </c>
      <c r="F14" s="2" t="inlineStr">
        <is>
          <t>Chàng trai ngồi sàn xem phim chiếu trên tường</t>
        </is>
      </c>
      <c r="G14" s="2" t="inlineStr">
        <is>
          <t>अब फोन पकड़ने से हाथों के थके दबाव का डर नहीं रहेगा</t>
        </is>
      </c>
      <c r="H14" s="2" t="inlineStr">
        <is>
          <t>Giờ không còn lo mỏi tay vì cầm điện thoại</t>
        </is>
      </c>
    </row>
    <row r="15">
      <c r="A15" s="2" t="inlineStr">
        <is>
          <t>SF-02</t>
        </is>
      </c>
      <c r="B15" s="8" t="n">
        <v>21</v>
      </c>
      <c r="C15" s="8" t="n">
        <v>24</v>
      </c>
      <c r="D15" s="2">
        <f>C15-B15</f>
        <v/>
      </c>
      <c r="E15" s="2" t="inlineStr">
        <is>
          <t>CTA</t>
        </is>
      </c>
      <c r="F15" s="2" t="inlineStr">
        <is>
          <t>Người mặc hoodie giơ điện thoại chiếu giao diện lên tường</t>
        </is>
      </c>
      <c r="G15" s="2" t="inlineStr">
        <is>
          <t>अभी डाउनलोड करें / और अपने अनुभव को अधिकतम स्तर तक बढ़ाएँ</t>
        </is>
      </c>
      <c r="H15" s="2" t="inlineStr">
        <is>
          <t>Tải ngay / Nâng trải nghiệm lên mức tối đa</t>
        </is>
      </c>
    </row>
    <row r="16">
      <c r="A16" s="2" t="inlineStr">
        <is>
          <t>SF-02</t>
        </is>
      </c>
      <c r="B16" s="8" t="n">
        <v>24</v>
      </c>
      <c r="C16" s="8" t="n">
        <v>26.1</v>
      </c>
      <c r="D16" s="2">
        <f>C16-B16</f>
        <v/>
      </c>
      <c r="E16" s="2" t="inlineStr">
        <is>
          <t>End card</t>
        </is>
      </c>
      <c r="F16" s="2" t="inlineStr">
        <is>
          <t>Icon + Smart Flashlight (chữ động) + Google Play</t>
        </is>
      </c>
      <c r="G16" s="2" t="inlineStr">
        <is>
          <t>—</t>
        </is>
      </c>
      <c r="H16" s="2" t="inlineStr">
        <is>
          <t>—</t>
        </is>
      </c>
    </row>
    <row r="17">
      <c r="A17" s="2" t="inlineStr">
        <is>
          <t>SF-03</t>
        </is>
      </c>
      <c r="B17" s="8" t="n">
        <v>0</v>
      </c>
      <c r="C17" s="8" t="n">
        <v>6</v>
      </c>
      <c r="D17" s="2">
        <f>C17-B17</f>
        <v/>
      </c>
      <c r="E17" s="2" t="inlineStr">
        <is>
          <t>Hook</t>
        </is>
      </c>
      <c r="F17" s="2" t="inlineStr">
        <is>
          <t>UI zoom: dial 1x→100x, mặt trăng phóng to dần, icon app bay quanh</t>
        </is>
      </c>
      <c r="G17" s="2" t="inlineStr">
        <is>
          <t>—</t>
        </is>
      </c>
      <c r="H17" s="2" t="inlineStr">
        <is>
          <t>—</t>
        </is>
      </c>
    </row>
    <row r="18">
      <c r="A18" s="2" t="inlineStr">
        <is>
          <t>SF-03</t>
        </is>
      </c>
      <c r="B18" s="8" t="n">
        <v>6</v>
      </c>
      <c r="C18" s="8" t="n">
        <v>7</v>
      </c>
      <c r="D18" s="2">
        <f>C18-B18</f>
        <v/>
      </c>
      <c r="E18" s="2" t="inlineStr">
        <is>
          <t>Intro</t>
        </is>
      </c>
      <c r="F18" s="2" t="inlineStr">
        <is>
          <t>Icon app + giao diện app</t>
        </is>
      </c>
      <c r="G18" s="2" t="inlineStr">
        <is>
          <t>यह एप्लिकेशन है</t>
        </is>
      </c>
      <c r="H18" s="2" t="inlineStr">
        <is>
          <t>Đây là ứng dụng</t>
        </is>
      </c>
    </row>
    <row r="19">
      <c r="A19" s="2" t="inlineStr">
        <is>
          <t>SF-03</t>
        </is>
      </c>
      <c r="B19" s="8" t="n">
        <v>7</v>
      </c>
      <c r="C19" s="8" t="n">
        <v>10</v>
      </c>
      <c r="D19" s="2">
        <f>C19-B19</f>
        <v/>
      </c>
      <c r="E19" s="2" t="inlineStr">
        <is>
          <t>Demo Magnifier</t>
        </is>
      </c>
      <c r="F19" s="2" t="inlineStr">
        <is>
          <t>Màn hình Magnifier phóng to trang sách</t>
        </is>
      </c>
      <c r="G19" s="2" t="inlineStr">
        <is>
          <t>बिल्ट-इन मैग्नीफाइंग ग्लास / इसमें अंतर्निहित मैग्नीफाइंग ग्लास का कार्य है</t>
        </is>
      </c>
      <c r="H19" s="2" t="inlineStr">
        <is>
          <t>Kính lúp tích hợp / Có chức năng kính lúp tích hợp</t>
        </is>
      </c>
    </row>
    <row r="20">
      <c r="A20" s="2" t="inlineStr">
        <is>
          <t>SF-03</t>
        </is>
      </c>
      <c r="B20" s="8" t="n">
        <v>10</v>
      </c>
      <c r="C20" s="8" t="n">
        <v>16</v>
      </c>
      <c r="D20" s="2">
        <f>C20-B20</f>
        <v/>
      </c>
      <c r="E20" s="2" t="inlineStr">
        <is>
          <t>Demo Zoom</t>
        </is>
      </c>
      <c r="F20" s="2" t="inlineStr">
        <is>
          <t>Tay cầm điện thoại zoom lên mặt trăng 0x→83x</t>
        </is>
      </c>
      <c r="G20" s="2" t="inlineStr">
        <is>
          <t>मैग्नीफिकेशन स्तर को समायोजित करके / आप स्पष्ट रूप से ज़ूम करके देख सकते हैं</t>
        </is>
      </c>
      <c r="H20" s="2" t="inlineStr">
        <is>
          <t>Điều chỉnh mức phóng đại / Bạn có thể zoom và xem rõ</t>
        </is>
      </c>
    </row>
    <row r="21">
      <c r="A21" s="2" t="inlineStr">
        <is>
          <t>SF-03</t>
        </is>
      </c>
      <c r="B21" s="8" t="n">
        <v>16</v>
      </c>
      <c r="C21" s="8" t="n">
        <v>20</v>
      </c>
      <c r="D21" s="2">
        <f>C21-B21</f>
        <v/>
      </c>
      <c r="E21" s="2" t="inlineStr">
        <is>
          <t>Demo Zoom 2</t>
        </is>
      </c>
      <c r="F21" s="2" t="inlineStr">
        <is>
          <t>Zoom thuyền trên biển</t>
        </is>
      </c>
      <c r="G21" s="2" t="inlineStr">
        <is>
          <t>अब दूर की वस्तुओं और छोटे-छोटे पाठ को भी स्पष्ट रूप से देखा जा सकता है</t>
        </is>
      </c>
      <c r="H21" s="2" t="inlineStr">
        <is>
          <t>Giờ vật ở xa và chữ nhỏ cũng nhìn rõ</t>
        </is>
      </c>
    </row>
    <row r="22">
      <c r="A22" s="2" t="inlineStr">
        <is>
          <t>SF-03</t>
        </is>
      </c>
      <c r="B22" s="8" t="n">
        <v>20</v>
      </c>
      <c r="C22" s="8" t="n">
        <v>21.8</v>
      </c>
      <c r="D22" s="2">
        <f>C22-B22</f>
        <v/>
      </c>
      <c r="E22" s="2" t="inlineStr">
        <is>
          <t>End card</t>
        </is>
      </c>
      <c r="F22" s="2" t="inlineStr">
        <is>
          <t>Icon + Smart Flashlight + Google Play</t>
        </is>
      </c>
      <c r="G22" s="2" t="inlineStr">
        <is>
          <t>—</t>
        </is>
      </c>
      <c r="H22" s="2" t="inlineStr">
        <is>
          <t>—</t>
        </is>
      </c>
    </row>
    <row r="23">
      <c r="A23" s="2" t="inlineStr">
        <is>
          <t>SF-04</t>
        </is>
      </c>
      <c r="B23" s="8" t="n">
        <v>0</v>
      </c>
      <c r="C23" s="8" t="n">
        <v>2</v>
      </c>
      <c r="D23" s="2">
        <f>C23-B23</f>
        <v/>
      </c>
      <c r="E23" s="2" t="inlineStr">
        <is>
          <t>Hook</t>
        </is>
      </c>
      <c r="F23" s="2" t="inlineStr">
        <is>
          <t>Cô gái quay lưng, điện thoại trên bàn chiếu ánh sáng hồng</t>
        </is>
      </c>
      <c r="G23" s="2" t="inlineStr">
        <is>
          <t>Get a 100 inch entertainment</t>
        </is>
      </c>
      <c r="H23" s="2" t="inlineStr">
        <is>
          <t>Trải nghiệm giải trí 100 inch</t>
        </is>
      </c>
    </row>
    <row r="24">
      <c r="A24" s="2" t="inlineStr">
        <is>
          <t>SF-04</t>
        </is>
      </c>
      <c r="B24" s="8" t="n">
        <v>2</v>
      </c>
      <c r="C24" s="8" t="n">
        <v>5</v>
      </c>
      <c r="D24" s="2">
        <f>C24-B24</f>
        <v/>
      </c>
      <c r="E24" s="2" t="inlineStr">
        <is>
          <t>Setup</t>
        </is>
      </c>
      <c r="F24" s="2" t="inlineStr">
        <is>
          <t>Cô gái giơ điện thoại, màn chiếu MV trên tường</t>
        </is>
      </c>
      <c r="G24" s="2" t="inlineStr">
        <is>
          <t>experience at home using / just your phone / Open this app</t>
        </is>
      </c>
      <c r="H24" s="2" t="inlineStr">
        <is>
          <t>tại nhà chỉ bằng điện thoại / Mở app này</t>
        </is>
      </c>
    </row>
    <row r="25">
      <c r="A25" s="2" t="inlineStr">
        <is>
          <t>SF-04</t>
        </is>
      </c>
      <c r="B25" s="8" t="n">
        <v>5</v>
      </c>
      <c r="C25" s="8" t="n">
        <v>10</v>
      </c>
      <c r="D25" s="2">
        <f>C25-B25</f>
        <v/>
      </c>
      <c r="E25" s="2" t="inlineStr">
        <is>
          <t>Demo</t>
        </is>
      </c>
      <c r="F25" s="2" t="inlineStr">
        <is>
          <t>Chiếu MV, chiếu lên trần / bề mặt khác</t>
        </is>
      </c>
      <c r="G25" s="2" t="inlineStr">
        <is>
          <t>and mirror your phone / screen onto a wall / ceiling or any flat surface around you</t>
        </is>
      </c>
      <c r="H25" s="2" t="inlineStr">
        <is>
          <t>và mirror màn hình điện thoại lên tường / trần hoặc mọi mặt phẳng</t>
        </is>
      </c>
    </row>
    <row r="26">
      <c r="A26" s="2" t="inlineStr">
        <is>
          <t>SF-04</t>
        </is>
      </c>
      <c r="B26" s="8" t="n">
        <v>10</v>
      </c>
      <c r="C26" s="8" t="n">
        <v>18</v>
      </c>
      <c r="D26" s="2">
        <f>C26-B26</f>
        <v/>
      </c>
      <c r="E26" s="2" t="inlineStr">
        <is>
          <t>Benefit</t>
        </is>
      </c>
      <c r="F26" s="2" t="inlineStr">
        <is>
          <t>Khung REC; đặt điện thoại trên tripod, màn chiếu lớn</t>
        </is>
      </c>
      <c r="G26" s="2" t="inlineStr">
        <is>
          <t>Now you can enjoy movies videos / and even games / on a massive 100 inch / style display that everyone / can enjoy together</t>
        </is>
      </c>
      <c r="H26" s="2" t="inlineStr">
        <is>
          <t>Giờ bạn có thể xem phim, video và cả game trên màn hình 100 inch mà mọi người cùng thưởng thức</t>
        </is>
      </c>
    </row>
    <row r="27">
      <c r="A27" s="2" t="inlineStr">
        <is>
          <t>SF-04</t>
        </is>
      </c>
      <c r="B27" s="8" t="n">
        <v>18</v>
      </c>
      <c r="C27" s="8" t="n">
        <v>20</v>
      </c>
      <c r="D27" s="2">
        <f>C27-B27</f>
        <v/>
      </c>
      <c r="E27" s="2" t="inlineStr">
        <is>
          <t>CTA</t>
        </is>
      </c>
      <c r="F27" s="2" t="inlineStr">
        <is>
          <t>Cô gái chỉnh điện thoại, màn chiếu hồng</t>
        </is>
      </c>
      <c r="G27" s="2" t="inlineStr">
        <is>
          <t>Download now</t>
        </is>
      </c>
      <c r="H27" s="2" t="inlineStr">
        <is>
          <t>Tải ngay</t>
        </is>
      </c>
    </row>
    <row r="28">
      <c r="A28" s="2" t="inlineStr">
        <is>
          <t>SF-04</t>
        </is>
      </c>
      <c r="B28" s="8" t="n">
        <v>20</v>
      </c>
      <c r="C28" s="8" t="n">
        <v>22.5</v>
      </c>
      <c r="D28" s="2">
        <f>C28-B28</f>
        <v/>
      </c>
      <c r="E28" s="2" t="inlineStr">
        <is>
          <t>End card</t>
        </is>
      </c>
      <c r="F28" s="2" t="inlineStr">
        <is>
          <t>Icon + Smart Flashlight + Google Play</t>
        </is>
      </c>
      <c r="G28" s="2" t="inlineStr">
        <is>
          <t>—</t>
        </is>
      </c>
      <c r="H28" s="2" t="inlineStr">
        <is>
          <t>—</t>
        </is>
      </c>
    </row>
    <row r="30">
      <c r="A30" s="7" t="inlineStr">
        <is>
          <t>Mốc thời gian ước lượng từ khung hình trích 1 fps (sai số ±1s).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8" customWidth="1" min="4" max="4"/>
    <col width="14" customWidth="1" min="5" max="5"/>
    <col width="12" customWidth="1" min="6" max="6"/>
    <col width="13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11" customWidth="1" min="13" max="13"/>
    <col width="12" customWidth="1" min="14" max="14"/>
    <col width="10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Concept</t>
        </is>
      </c>
      <c r="C1" s="1" t="inlineStr">
        <is>
          <t>Ngôn ngữ</t>
        </is>
      </c>
      <c r="D1" s="1" t="inlineStr">
        <is>
          <t>Tỉ lệ</t>
        </is>
      </c>
      <c r="E1" s="1" t="inlineStr">
        <is>
          <t>Kênh</t>
        </is>
      </c>
      <c r="F1" s="1" t="inlineStr">
        <is>
          <t>Spend (USD)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Installs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IPM</t>
        </is>
      </c>
      <c r="M1" s="1" t="inlineStr">
        <is>
          <t>CPI (USD)</t>
        </is>
      </c>
      <c r="N1" s="1" t="inlineStr">
        <is>
          <t>Retention D1</t>
        </is>
      </c>
      <c r="O1" s="1" t="inlineStr">
        <is>
          <t>ROAS D7</t>
        </is>
      </c>
      <c r="P1" s="1" t="inlineStr">
        <is>
          <t>Đánh giá</t>
        </is>
      </c>
    </row>
    <row r="2">
      <c r="A2" s="2" t="inlineStr">
        <is>
          <t>SF-01</t>
        </is>
      </c>
      <c r="B2" s="2" t="inlineStr">
        <is>
          <t>Phone projector – hoạt hình hook</t>
        </is>
      </c>
      <c r="C2" s="2" t="inlineStr">
        <is>
          <t>Hindi</t>
        </is>
      </c>
      <c r="D2" s="2" t="inlineStr">
        <is>
          <t>4:5</t>
        </is>
      </c>
      <c r="E2" s="9" t="n"/>
      <c r="F2" s="10" t="n"/>
      <c r="G2" s="11" t="n"/>
      <c r="H2" s="11" t="n"/>
      <c r="I2" s="11" t="n"/>
      <c r="J2" s="12">
        <f>IFERROR(H2/G2,"")</f>
        <v/>
      </c>
      <c r="K2" s="12">
        <f>IFERROR(I2/H2,"")</f>
        <v/>
      </c>
      <c r="L2" s="13">
        <f>IFERROR(I2/G2*1000,"")</f>
        <v/>
      </c>
      <c r="M2" s="14">
        <f>IFERROR(F2/I2,"")</f>
        <v/>
      </c>
      <c r="N2" s="15" t="n"/>
      <c r="O2" s="15" t="n"/>
      <c r="P2" s="2">
        <f>IF(I2="","Chưa có dữ liệu",IF(I2&lt;50,"Chưa đủ dữ liệu (&lt;50 installs)","Đủ dữ liệu để đánh giá"))</f>
        <v/>
      </c>
    </row>
    <row r="3">
      <c r="A3" s="2" t="inlineStr">
        <is>
          <t>SF-02</t>
        </is>
      </c>
      <c r="B3" s="2" t="inlineStr">
        <is>
          <t>Phone projector 101" – hại mắt</t>
        </is>
      </c>
      <c r="C3" s="2" t="inlineStr">
        <is>
          <t>Hindi</t>
        </is>
      </c>
      <c r="D3" s="2" t="inlineStr">
        <is>
          <t>4:5</t>
        </is>
      </c>
      <c r="E3" s="9" t="n"/>
      <c r="F3" s="10" t="n"/>
      <c r="G3" s="11" t="n"/>
      <c r="H3" s="11" t="n"/>
      <c r="I3" s="11" t="n"/>
      <c r="J3" s="12">
        <f>IFERROR(H3/G3,"")</f>
        <v/>
      </c>
      <c r="K3" s="12">
        <f>IFERROR(I3/H3,"")</f>
        <v/>
      </c>
      <c r="L3" s="13">
        <f>IFERROR(I3/G3*1000,"")</f>
        <v/>
      </c>
      <c r="M3" s="14">
        <f>IFERROR(F3/I3,"")</f>
        <v/>
      </c>
      <c r="N3" s="15" t="n"/>
      <c r="O3" s="15" t="n"/>
      <c r="P3" s="2">
        <f>IF(I3="","Chưa có dữ liệu",IF(I3&lt;50,"Chưa đủ dữ liệu (&lt;50 installs)","Đủ dữ liệu để đánh giá"))</f>
        <v/>
      </c>
    </row>
    <row r="4">
      <c r="A4" s="2" t="inlineStr">
        <is>
          <t>SF-03</t>
        </is>
      </c>
      <c r="B4" s="2" t="inlineStr">
        <is>
          <t>Magnifier / Zoom 100x</t>
        </is>
      </c>
      <c r="C4" s="2" t="inlineStr">
        <is>
          <t>Hindi</t>
        </is>
      </c>
      <c r="D4" s="2" t="inlineStr">
        <is>
          <t>4:5</t>
        </is>
      </c>
      <c r="E4" s="9" t="n"/>
      <c r="F4" s="10" t="n"/>
      <c r="G4" s="11" t="n"/>
      <c r="H4" s="11" t="n"/>
      <c r="I4" s="11" t="n"/>
      <c r="J4" s="12">
        <f>IFERROR(H4/G4,"")</f>
        <v/>
      </c>
      <c r="K4" s="12">
        <f>IFERROR(I4/H4,"")</f>
        <v/>
      </c>
      <c r="L4" s="13">
        <f>IFERROR(I4/G4*1000,"")</f>
        <v/>
      </c>
      <c r="M4" s="14">
        <f>IFERROR(F4/I4,"")</f>
        <v/>
      </c>
      <c r="N4" s="15" t="n"/>
      <c r="O4" s="15" t="n"/>
      <c r="P4" s="2">
        <f>IF(I4="","Chưa có dữ liệu",IF(I4&lt;50,"Chưa đủ dữ liệu (&lt;50 installs)","Đủ dữ liệu để đánh giá"))</f>
        <v/>
      </c>
    </row>
    <row r="5">
      <c r="A5" s="2" t="inlineStr">
        <is>
          <t>SF-04</t>
        </is>
      </c>
      <c r="B5" s="2" t="inlineStr">
        <is>
          <t>Phone projector 100" – home cinema</t>
        </is>
      </c>
      <c r="C5" s="2" t="inlineStr">
        <is>
          <t>English</t>
        </is>
      </c>
      <c r="D5" s="2" t="inlineStr">
        <is>
          <t>1:1</t>
        </is>
      </c>
      <c r="E5" s="9" t="n"/>
      <c r="F5" s="10" t="n"/>
      <c r="G5" s="11" t="n"/>
      <c r="H5" s="11" t="n"/>
      <c r="I5" s="11" t="n"/>
      <c r="J5" s="12">
        <f>IFERROR(H5/G5,"")</f>
        <v/>
      </c>
      <c r="K5" s="12">
        <f>IFERROR(I5/H5,"")</f>
        <v/>
      </c>
      <c r="L5" s="13">
        <f>IFERROR(I5/G5*1000,"")</f>
        <v/>
      </c>
      <c r="M5" s="14">
        <f>IFERROR(F5/I5,"")</f>
        <v/>
      </c>
      <c r="N5" s="15" t="n"/>
      <c r="O5" s="15" t="n"/>
      <c r="P5" s="2">
        <f>IF(I5="","Chưa có dữ liệu",IF(I5&lt;50,"Chưa đủ dữ liệu (&lt;50 installs)","Đủ dữ liệu để đánh giá"))</f>
        <v/>
      </c>
    </row>
    <row r="7">
      <c r="A7" s="16" t="inlineStr">
        <is>
          <t>Hướng dẫn:</t>
        </is>
      </c>
    </row>
    <row r="8">
      <c r="A8" s="7" t="inlineStr">
        <is>
          <t>Nhập số liệu vào các ô nền vàng (Kênh, Spend, Impressions, Clicks, Installs, Retention D1, ROAS D7 — nhập % dạng thập phân, VD 0.35). CTR, CVR, IPM, CPI tự tính. Nguồn số liệu nên lấy từ MMP.</t>
        </is>
      </c>
    </row>
    <row r="9">
      <c r="A9" s="7" t="inlineStr">
        <is>
          <t>Công thức: CTR = Clicks/Impressions · CVR = Installs/Clicks · IPM = Installs/Impressions×1000 · CPI = Spend/Installs.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2026-09-23T02:17:33Z</dcterms:created>
  <dcterms:modified xsi:type="dcterms:W3CDTF">2026-09-23T02:17:33Z</dcterms:modified>
</cp:coreProperties>
</file>